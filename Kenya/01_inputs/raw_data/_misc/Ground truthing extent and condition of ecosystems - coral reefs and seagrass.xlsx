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raha/Library/Mobile Documents/com~apple~CloudDocs/Documents/1. WORK - JULY 2021/1. Postdoc- fellowships/2023/3. Ground truthing activity/"/>
    </mc:Choice>
  </mc:AlternateContent>
  <xr:revisionPtr revIDLastSave="0" documentId="8_{AD04BDBD-C0C3-3B41-8BBA-0AFD87384832}" xr6:coauthVersionLast="47" xr6:coauthVersionMax="47" xr10:uidLastSave="{00000000-0000-0000-0000-000000000000}"/>
  <bookViews>
    <workbookView xWindow="3420" yWindow="760" windowWidth="25380" windowHeight="15440" activeTab="2" xr2:uid="{791A7707-60AA-6741-B367-DBF23653F474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2" l="1"/>
  <c r="W23" i="2"/>
  <c r="J23" i="2"/>
  <c r="K23" i="2"/>
  <c r="L23" i="2"/>
  <c r="M23" i="2"/>
  <c r="N23" i="2"/>
  <c r="O23" i="2"/>
  <c r="P23" i="2"/>
  <c r="Q23" i="2"/>
  <c r="R23" i="2"/>
  <c r="S23" i="2"/>
  <c r="T23" i="2"/>
  <c r="U23" i="2"/>
  <c r="I23" i="2"/>
  <c r="I17" i="2"/>
  <c r="H24" i="2"/>
  <c r="H28" i="2" s="1"/>
  <c r="T22" i="2"/>
  <c r="U22" i="2"/>
  <c r="V22" i="2"/>
  <c r="W22" i="2"/>
  <c r="T17" i="2"/>
  <c r="U17" i="2"/>
  <c r="V17" i="2"/>
  <c r="W17" i="2"/>
  <c r="M3" i="2"/>
  <c r="L3" i="2"/>
  <c r="K3" i="2"/>
  <c r="J3" i="2"/>
  <c r="I22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I6" i="2"/>
  <c r="J22" i="2"/>
  <c r="K22" i="2"/>
  <c r="L22" i="2"/>
  <c r="M22" i="2"/>
  <c r="N22" i="2"/>
  <c r="O22" i="2"/>
  <c r="P22" i="2"/>
  <c r="Q22" i="2"/>
  <c r="R22" i="2"/>
  <c r="S22" i="2"/>
  <c r="J17" i="2"/>
  <c r="K17" i="2"/>
  <c r="L17" i="2"/>
  <c r="M17" i="2"/>
  <c r="N17" i="2"/>
  <c r="O17" i="2"/>
  <c r="P17" i="2"/>
  <c r="Q17" i="2"/>
  <c r="R17" i="2"/>
  <c r="S17" i="2"/>
  <c r="I3" i="2"/>
  <c r="H23" i="2"/>
  <c r="H22" i="2"/>
  <c r="H17" i="2"/>
  <c r="H10" i="2"/>
  <c r="H9" i="2"/>
  <c r="H8" i="2"/>
  <c r="H5" i="2"/>
  <c r="H4" i="2"/>
  <c r="H3" i="2"/>
  <c r="H27" i="1"/>
  <c r="H26" i="1"/>
  <c r="H25" i="1"/>
  <c r="H28" i="1" s="1"/>
  <c r="H22" i="1"/>
  <c r="H21" i="1"/>
  <c r="H20" i="1"/>
  <c r="H19" i="1"/>
  <c r="H23" i="1" s="1"/>
  <c r="H16" i="1"/>
  <c r="H17" i="1" s="1"/>
  <c r="H4" i="1"/>
  <c r="H5" i="1"/>
  <c r="H6" i="1"/>
  <c r="H7" i="1"/>
  <c r="H8" i="1"/>
  <c r="H9" i="1"/>
  <c r="H10" i="1"/>
  <c r="H11" i="1"/>
  <c r="H14" i="1" s="1"/>
  <c r="H29" i="1" s="1"/>
  <c r="H12" i="1"/>
  <c r="H13" i="1"/>
  <c r="H3" i="1"/>
  <c r="H6" i="2" l="1"/>
  <c r="H11" i="2"/>
  <c r="H25" i="2" l="1"/>
</calcChain>
</file>

<file path=xl/sharedStrings.xml><?xml version="1.0" encoding="utf-8"?>
<sst xmlns="http://schemas.openxmlformats.org/spreadsheetml/2006/main" count="182" uniqueCount="117">
  <si>
    <t>Affiliation</t>
  </si>
  <si>
    <t>DSA - technical team</t>
  </si>
  <si>
    <t>Prof. Fulanda</t>
  </si>
  <si>
    <t>PU</t>
  </si>
  <si>
    <t>Lead PI</t>
  </si>
  <si>
    <t>Dr. Juliet Karisa</t>
  </si>
  <si>
    <t>Develop methodology for ground truthing for coral reef and seagrass reef extent</t>
  </si>
  <si>
    <t>Dr. Pascal Thoya</t>
  </si>
  <si>
    <t>Develop methodology for the GIS and Remote sensing team</t>
  </si>
  <si>
    <t>Derick Ongeri</t>
  </si>
  <si>
    <t>Record GPS points etc as required by the protocol</t>
  </si>
  <si>
    <t>Nancy Ogega</t>
  </si>
  <si>
    <t>Coral reef extent &amp; Condition (underwtater)</t>
  </si>
  <si>
    <t>Peter Musembi</t>
  </si>
  <si>
    <t>Partricia Simwa</t>
  </si>
  <si>
    <t>Masudi Zamu</t>
  </si>
  <si>
    <t>KMFRI</t>
  </si>
  <si>
    <t>Mohamed Tashwish</t>
  </si>
  <si>
    <t>Charles Muthama</t>
  </si>
  <si>
    <t>Seagrass extent &amp; Condition (underwater)</t>
  </si>
  <si>
    <t>Alex Kimanthi</t>
  </si>
  <si>
    <t>Sub-total</t>
  </si>
  <si>
    <t>DSA/Allowance - Support/logistics</t>
  </si>
  <si>
    <t>Drivers</t>
  </si>
  <si>
    <t>logistics</t>
  </si>
  <si>
    <t>Operational costs</t>
  </si>
  <si>
    <t>Boat Hire</t>
  </si>
  <si>
    <t>Transport</t>
  </si>
  <si>
    <t>Fuel for vehicle</t>
  </si>
  <si>
    <t>Fuel - boat</t>
  </si>
  <si>
    <t>Transport - 2 boats and 30l per day per boat</t>
  </si>
  <si>
    <t>Dive equipment</t>
  </si>
  <si>
    <t>Dive tank filling and loading costs</t>
  </si>
  <si>
    <t>Fieldwork materials</t>
  </si>
  <si>
    <t>Pens, pencils and rulers</t>
  </si>
  <si>
    <t>10 pieces each</t>
  </si>
  <si>
    <t>Notebooks</t>
  </si>
  <si>
    <t>2 hardcover notebooks for recording data</t>
  </si>
  <si>
    <t>Batteries</t>
  </si>
  <si>
    <t>For GPS, Echo sounder and Ph meter etc</t>
  </si>
  <si>
    <t>GRAND TOTAL</t>
  </si>
  <si>
    <t>ITEM</t>
  </si>
  <si>
    <t>NAME/DETAILS</t>
  </si>
  <si>
    <t>ROLE/DETAILS</t>
  </si>
  <si>
    <t>QUANTITY</t>
  </si>
  <si>
    <t>UNIT</t>
  </si>
  <si>
    <t>TOTAL COST (KSHS.)</t>
  </si>
  <si>
    <t>COST PER UNIT (KSHS.)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</si>
  <si>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</si>
  <si>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</si>
  <si>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</si>
  <si>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</si>
  <si>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</si>
  <si>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</si>
  <si>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</si>
  <si>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</si>
  <si>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</si>
  <si>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</si>
  <si>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</si>
  <si>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TOTAL</t>
  </si>
  <si>
    <t>Field allowances</t>
  </si>
  <si>
    <t>Fisherman</t>
  </si>
  <si>
    <t>Other costs</t>
  </si>
  <si>
    <t>Day 12</t>
  </si>
  <si>
    <t>Day 13</t>
  </si>
  <si>
    <t>Day 14</t>
  </si>
  <si>
    <t>Day 15</t>
  </si>
  <si>
    <t>Lirway</t>
  </si>
  <si>
    <t>5th</t>
  </si>
  <si>
    <t>6th</t>
  </si>
  <si>
    <t>7th</t>
  </si>
  <si>
    <t>Total expenditure so far</t>
  </si>
  <si>
    <t>Balance</t>
  </si>
  <si>
    <t>8th</t>
  </si>
  <si>
    <t>9th</t>
  </si>
  <si>
    <t>Money received so far</t>
  </si>
  <si>
    <t>Pending</t>
  </si>
  <si>
    <t>Park fees</t>
  </si>
  <si>
    <t>Field guide</t>
  </si>
  <si>
    <t>KWS 1</t>
  </si>
  <si>
    <t>KWS 2</t>
  </si>
  <si>
    <t>Day</t>
  </si>
  <si>
    <t>Date</t>
  </si>
  <si>
    <t>Area</t>
  </si>
  <si>
    <t>Activity</t>
  </si>
  <si>
    <t>Travel</t>
  </si>
  <si>
    <t>Jumba ruins to Kinamai</t>
  </si>
  <si>
    <t>Coral reef and seagrass extent groundtruthing</t>
  </si>
  <si>
    <t>4.11.2024</t>
  </si>
  <si>
    <t>Jumba ruins &amp; Kanamai</t>
  </si>
  <si>
    <t>Coral reef and seagrass health condition</t>
  </si>
  <si>
    <t>5.11.2024</t>
  </si>
  <si>
    <t>Kikambala to Kuruwitu</t>
  </si>
  <si>
    <t>6.11.2024</t>
  </si>
  <si>
    <t>Kikambala &amp; Kuruwitu</t>
  </si>
  <si>
    <t>7.11.2024</t>
  </si>
  <si>
    <t>Takaungu to Bofa</t>
  </si>
  <si>
    <t>8.11.2024</t>
  </si>
  <si>
    <t>Takaungu &amp; Bofa</t>
  </si>
  <si>
    <t>9.11.2024</t>
  </si>
  <si>
    <t>Wesa - Roka - Uyombo</t>
  </si>
  <si>
    <t>10.11.2024</t>
  </si>
  <si>
    <t>11.11.2024</t>
  </si>
  <si>
    <t>12.11.2024</t>
  </si>
  <si>
    <t>13.11.2024</t>
  </si>
  <si>
    <t>Marereni</t>
  </si>
  <si>
    <t>14.11.2024</t>
  </si>
  <si>
    <t>15.11.2024</t>
  </si>
  <si>
    <t>Ngomeni</t>
  </si>
  <si>
    <t>16.11.2024</t>
  </si>
  <si>
    <t>17.11.2024</t>
  </si>
  <si>
    <t>18.11.2024</t>
  </si>
  <si>
    <t>19.11.2024</t>
  </si>
  <si>
    <t>Malindi Marine park and reserve</t>
  </si>
  <si>
    <t>Watamu Marine Park and reserve</t>
  </si>
  <si>
    <t>Coral reef and seagrass extent groundtruthing &amp; Condition</t>
  </si>
  <si>
    <t>Watamu Marine Park and reserve/ travel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</si>
</sst>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3" fontId="2" fillId="0" borderId="0" xfId="0" applyNumberFormat="1" applyFont="1"/>
    <xf numFmtId="3" fontId="2" fillId="0" borderId="5" xfId="0" applyNumberFormat="1" applyFont="1" applyBorder="1"/>
    <xf numFmtId="0" fontId="1" fillId="0" borderId="6" xfId="0" applyFont="1" applyBorder="1"/>
    <xf numFmtId="0" fontId="2" fillId="0" borderId="7" xfId="0" applyFont="1" applyBorder="1"/>
    <xf numFmtId="3" fontId="1" fillId="0" borderId="8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6" xfId="0" applyFont="1" applyBorder="1"/>
    <xf numFmtId="3" fontId="3" fillId="0" borderId="8" xfId="0" applyNumberFormat="1" applyFont="1" applyBorder="1"/>
    <xf numFmtId="0" fontId="1" fillId="0" borderId="9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5" fillId="0" borderId="0" xfId="0" applyFont="1"/>
    <xf numFmtId="3" fontId="0" fillId="0" borderId="0" xfId="0" applyNumberFormat="1"/>
    <xf numFmtId="3" fontId="3" fillId="0" borderId="0" xfId="0" applyNumberFormat="1" applyFont="1"/>
    <xf numFmtId="0" fontId="2" fillId="0" borderId="5" xfId="0" applyFont="1" applyBorder="1"/>
    <xf numFmtId="0" fontId="2" fillId="0" borderId="8" xfId="0" applyFont="1" applyBorder="1"/>
    <xf numFmtId="0" fontId="1" fillId="0" borderId="4" xfId="0" applyFont="1" applyBorder="1"/>
    <xf numFmtId="0" fontId="3" fillId="0" borderId="4" xfId="0" applyFont="1" applyBorder="1"/>
    <xf numFmtId="0" fontId="2" fillId="0" borderId="1" xfId="0" applyFont="1" applyBorder="1"/>
    <xf numFmtId="0" fontId="2" fillId="0" borderId="6" xfId="0" applyFont="1" applyBorder="1"/>
    <xf numFmtId="3" fontId="5" fillId="0" borderId="0" xfId="0" applyNumberFormat="1" applyFont="1"/>
    <xf numFmtId="0" fontId="5" fillId="0" borderId="12" xfId="0" applyFont="1" applyBorder="1"/>
    <xf numFmtId="0" fontId="5" fillId="0" borderId="13" xfId="0" applyFont="1" applyBorder="1"/>
    <xf numFmtId="3" fontId="5" fillId="0" borderId="13" xfId="0" applyNumberFormat="1" applyFont="1" applyBorder="1"/>
    <xf numFmtId="3" fontId="3" fillId="0" borderId="7" xfId="0" applyNumberFormat="1" applyFont="1" applyBorder="1"/>
    <xf numFmtId="3" fontId="5" fillId="0" borderId="12" xfId="0" applyNumberFormat="1" applyFont="1" applyBorder="1"/>
    <xf numFmtId="3" fontId="5" fillId="0" borderId="14" xfId="0" applyNumberFormat="1" applyFont="1" applyBorder="1"/>
    <xf numFmtId="164" fontId="3" fillId="0" borderId="4" xfId="1" applyNumberFormat="1" applyFont="1" applyBorder="1"/>
    <xf numFmtId="164" fontId="3" fillId="0" borderId="0" xfId="1" applyNumberFormat="1" applyFont="1" applyBorder="1"/>
    <xf numFmtId="164" fontId="3" fillId="0" borderId="5" xfId="1" applyNumberFormat="1" applyFont="1" applyBorder="1"/>
    <xf numFmtId="164" fontId="0" fillId="0" borderId="0" xfId="1" applyNumberFormat="1" applyFont="1"/>
    <xf numFmtId="164" fontId="0" fillId="0" borderId="0" xfId="0" applyNumberFormat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164" fontId="5" fillId="0" borderId="4" xfId="1" applyNumberFormat="1" applyFont="1" applyBorder="1"/>
    <xf numFmtId="164" fontId="5" fillId="0" borderId="0" xfId="1" applyNumberFormat="1" applyFont="1" applyBorder="1"/>
    <xf numFmtId="164" fontId="5" fillId="0" borderId="5" xfId="1" applyNumberFormat="1" applyFont="1" applyBorder="1"/>
    <xf numFmtId="164" fontId="4" fillId="0" borderId="4" xfId="1" applyNumberFormat="1" applyFont="1" applyBorder="1"/>
    <xf numFmtId="164" fontId="4" fillId="0" borderId="0" xfId="1" applyNumberFormat="1" applyFont="1" applyBorder="1"/>
    <xf numFmtId="164" fontId="4" fillId="0" borderId="5" xfId="1" applyNumberFormat="1" applyFont="1" applyBorder="1"/>
    <xf numFmtId="0" fontId="7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65D6-9E60-A34D-B237-41BB97D7702A}">
  <dimension ref="A1:H29"/>
  <sheetViews>
    <sheetView workbookViewId="0">
      <selection sqref="A1:XFD1"/>
    </sheetView>
  </sheetViews>
  <sheetFormatPr baseColWidth="10" defaultRowHeight="16" x14ac:dyDescent="0.2"/>
  <cols>
    <col min="1" max="1" width="11" style="1" customWidth="1"/>
    <col min="2" max="2" width="23.33203125" style="1" bestFit="1" customWidth="1"/>
    <col min="3" max="3" width="10.1640625" style="1" bestFit="1" customWidth="1"/>
    <col min="4" max="4" width="73.83203125" style="1" customWidth="1"/>
    <col min="5" max="5" width="11.33203125" style="1" bestFit="1" customWidth="1"/>
    <col min="6" max="6" width="5.83203125" style="1" bestFit="1" customWidth="1"/>
    <col min="7" max="7" width="24.83203125" style="1" bestFit="1" customWidth="1"/>
    <col min="8" max="8" width="22" style="1" bestFit="1" customWidth="1"/>
    <col min="9" max="16384" width="10.83203125" style="1"/>
  </cols>
  <sheetData>
    <row r="1" spans="1:8" ht="17" thickBot="1" x14ac:dyDescent="0.25">
      <c r="A1" s="2" t="s">
        <v>41</v>
      </c>
      <c r="B1" s="3" t="s">
        <v>42</v>
      </c>
      <c r="C1" s="3" t="s">
        <v>0</v>
      </c>
      <c r="D1" s="15" t="s">
        <v>43</v>
      </c>
      <c r="E1" s="3" t="s">
        <v>44</v>
      </c>
      <c r="F1" s="3" t="s">
        <v>45</v>
      </c>
      <c r="G1" s="3" t="s">
        <v>47</v>
      </c>
      <c r="H1" s="4" t="s">
        <v>46</v>
      </c>
    </row>
    <row r="2" spans="1:8" x14ac:dyDescent="0.2">
      <c r="A2" s="2" t="s">
        <v>1</v>
      </c>
      <c r="B2" s="11"/>
      <c r="C2" s="11"/>
      <c r="D2" s="16"/>
      <c r="E2" s="11"/>
      <c r="F2" s="11"/>
      <c r="G2" s="11"/>
      <c r="H2" s="12"/>
    </row>
    <row r="3" spans="1:8" x14ac:dyDescent="0.2">
      <c r="A3" s="5">
        <v>1</v>
      </c>
      <c r="B3" s="1" t="s">
        <v>2</v>
      </c>
      <c r="C3" s="1" t="s">
        <v>3</v>
      </c>
      <c r="D3" s="17" t="s">
        <v>4</v>
      </c>
      <c r="E3" s="1">
        <v>1</v>
      </c>
      <c r="F3" s="1">
        <v>10</v>
      </c>
      <c r="G3" s="6">
        <v>16000</v>
      </c>
      <c r="H3" s="7">
        <f>E3*F3*G3</f>
        <v>160000</v>
      </c>
    </row>
    <row r="4" spans="1:8" x14ac:dyDescent="0.2">
      <c r="A4" s="5">
        <v>2</v>
      </c>
      <c r="B4" s="1" t="s">
        <v>5</v>
      </c>
      <c r="C4" s="1" t="s">
        <v>3</v>
      </c>
      <c r="D4" s="17" t="s">
        <v>6</v>
      </c>
      <c r="E4" s="1">
        <v>1</v>
      </c>
      <c r="F4" s="1">
        <v>15</v>
      </c>
      <c r="G4" s="6">
        <v>14000</v>
      </c>
      <c r="H4" s="7">
        <f t="shared" ref="H4:H13" si="0">E4*F4*G4</f>
        <v>210000</v>
      </c>
    </row>
    <row r="5" spans="1:8" x14ac:dyDescent="0.2">
      <c r="A5" s="5">
        <v>3</v>
      </c>
      <c r="B5" s="1" t="s">
        <v>7</v>
      </c>
      <c r="C5" s="1" t="s">
        <v>3</v>
      </c>
      <c r="D5" s="17" t="s">
        <v>8</v>
      </c>
      <c r="E5" s="1">
        <v>1</v>
      </c>
      <c r="F5" s="1">
        <v>10</v>
      </c>
      <c r="G5" s="6">
        <v>14000</v>
      </c>
      <c r="H5" s="7">
        <f t="shared" si="0"/>
        <v>140000</v>
      </c>
    </row>
    <row r="6" spans="1:8" x14ac:dyDescent="0.2">
      <c r="A6" s="5">
        <v>4</v>
      </c>
      <c r="B6" s="1" t="s">
        <v>9</v>
      </c>
      <c r="C6" s="1" t="s">
        <v>3</v>
      </c>
      <c r="D6" s="17" t="s">
        <v>10</v>
      </c>
      <c r="E6" s="1">
        <v>1</v>
      </c>
      <c r="F6" s="1">
        <v>15</v>
      </c>
      <c r="G6" s="6">
        <v>10000</v>
      </c>
      <c r="H6" s="7">
        <f t="shared" si="0"/>
        <v>150000</v>
      </c>
    </row>
    <row r="7" spans="1:8" x14ac:dyDescent="0.2">
      <c r="A7" s="5">
        <v>5</v>
      </c>
      <c r="B7" s="1" t="s">
        <v>11</v>
      </c>
      <c r="C7" s="1" t="s">
        <v>3</v>
      </c>
      <c r="D7" s="17" t="s">
        <v>12</v>
      </c>
      <c r="E7" s="1">
        <v>1</v>
      </c>
      <c r="F7" s="1">
        <v>15</v>
      </c>
      <c r="G7" s="6">
        <v>10000</v>
      </c>
      <c r="H7" s="7">
        <f t="shared" si="0"/>
        <v>150000</v>
      </c>
    </row>
    <row r="8" spans="1:8" x14ac:dyDescent="0.2">
      <c r="A8" s="5">
        <v>6</v>
      </c>
      <c r="B8" s="1" t="s">
        <v>13</v>
      </c>
      <c r="C8" s="1" t="s">
        <v>3</v>
      </c>
      <c r="D8" s="17" t="s">
        <v>12</v>
      </c>
      <c r="E8" s="1">
        <v>1</v>
      </c>
      <c r="F8" s="1">
        <v>15</v>
      </c>
      <c r="G8" s="6">
        <v>10000</v>
      </c>
      <c r="H8" s="7">
        <f t="shared" si="0"/>
        <v>150000</v>
      </c>
    </row>
    <row r="9" spans="1:8" x14ac:dyDescent="0.2">
      <c r="A9" s="5">
        <v>7</v>
      </c>
      <c r="B9" s="1" t="s">
        <v>14</v>
      </c>
      <c r="C9" s="1" t="s">
        <v>3</v>
      </c>
      <c r="D9" s="17" t="s">
        <v>10</v>
      </c>
      <c r="E9" s="1">
        <v>1</v>
      </c>
      <c r="F9" s="1">
        <v>15</v>
      </c>
      <c r="G9" s="6">
        <v>10000</v>
      </c>
      <c r="H9" s="7">
        <f t="shared" si="0"/>
        <v>150000</v>
      </c>
    </row>
    <row r="10" spans="1:8" x14ac:dyDescent="0.2">
      <c r="A10" s="5">
        <v>8</v>
      </c>
      <c r="B10" s="1" t="s">
        <v>15</v>
      </c>
      <c r="C10" s="1" t="s">
        <v>16</v>
      </c>
      <c r="D10" s="17" t="s">
        <v>12</v>
      </c>
      <c r="E10" s="1">
        <v>1</v>
      </c>
      <c r="F10" s="1">
        <v>15</v>
      </c>
      <c r="G10" s="6">
        <v>11200</v>
      </c>
      <c r="H10" s="7">
        <f t="shared" si="0"/>
        <v>168000</v>
      </c>
    </row>
    <row r="11" spans="1:8" x14ac:dyDescent="0.2">
      <c r="A11" s="5">
        <v>9</v>
      </c>
      <c r="B11" s="1" t="s">
        <v>17</v>
      </c>
      <c r="C11" s="1" t="s">
        <v>16</v>
      </c>
      <c r="D11" s="17" t="s">
        <v>12</v>
      </c>
      <c r="E11" s="1">
        <v>1</v>
      </c>
      <c r="F11" s="1">
        <v>15</v>
      </c>
      <c r="G11" s="6">
        <v>10000</v>
      </c>
      <c r="H11" s="7">
        <f t="shared" si="0"/>
        <v>150000</v>
      </c>
    </row>
    <row r="12" spans="1:8" x14ac:dyDescent="0.2">
      <c r="A12" s="5">
        <v>10</v>
      </c>
      <c r="B12" s="1" t="s">
        <v>18</v>
      </c>
      <c r="C12" s="1" t="s">
        <v>16</v>
      </c>
      <c r="D12" s="17" t="s">
        <v>19</v>
      </c>
      <c r="E12" s="1">
        <v>1</v>
      </c>
      <c r="F12" s="1">
        <v>15</v>
      </c>
      <c r="G12" s="6">
        <v>11200</v>
      </c>
      <c r="H12" s="7">
        <f t="shared" si="0"/>
        <v>168000</v>
      </c>
    </row>
    <row r="13" spans="1:8" x14ac:dyDescent="0.2">
      <c r="A13" s="5">
        <v>11</v>
      </c>
      <c r="B13" s="1" t="s">
        <v>20</v>
      </c>
      <c r="C13" s="1" t="s">
        <v>16</v>
      </c>
      <c r="D13" s="17" t="s">
        <v>19</v>
      </c>
      <c r="E13" s="1">
        <v>1</v>
      </c>
      <c r="F13" s="1">
        <v>15</v>
      </c>
      <c r="G13" s="6">
        <v>11200</v>
      </c>
      <c r="H13" s="7">
        <f t="shared" si="0"/>
        <v>168000</v>
      </c>
    </row>
    <row r="14" spans="1:8" ht="17" thickBot="1" x14ac:dyDescent="0.25">
      <c r="A14" s="13" t="s">
        <v>21</v>
      </c>
      <c r="B14" s="9"/>
      <c r="C14" s="9"/>
      <c r="D14" s="18"/>
      <c r="E14" s="9"/>
      <c r="F14" s="9"/>
      <c r="G14" s="9"/>
      <c r="H14" s="14">
        <f>SUM(H3:H13)</f>
        <v>1764000</v>
      </c>
    </row>
    <row r="15" spans="1:8" x14ac:dyDescent="0.2">
      <c r="A15" s="2" t="s">
        <v>22</v>
      </c>
      <c r="B15" s="11"/>
      <c r="C15" s="11"/>
      <c r="D15" s="16"/>
      <c r="E15" s="11"/>
      <c r="F15" s="11"/>
      <c r="G15" s="11"/>
      <c r="H15" s="12"/>
    </row>
    <row r="16" spans="1:8" x14ac:dyDescent="0.2">
      <c r="A16" s="5">
        <v>1</v>
      </c>
      <c r="B16" s="1" t="s">
        <v>23</v>
      </c>
      <c r="C16" s="1" t="s">
        <v>3</v>
      </c>
      <c r="D16" s="17" t="s">
        <v>24</v>
      </c>
      <c r="E16" s="1">
        <v>2</v>
      </c>
      <c r="F16" s="1">
        <v>15</v>
      </c>
      <c r="G16" s="6">
        <v>6300</v>
      </c>
      <c r="H16" s="7">
        <f>E16*F16*G16</f>
        <v>189000</v>
      </c>
    </row>
    <row r="17" spans="1:8" ht="17" thickBot="1" x14ac:dyDescent="0.25">
      <c r="A17" s="13" t="s">
        <v>21</v>
      </c>
      <c r="B17" s="9"/>
      <c r="C17" s="9"/>
      <c r="D17" s="18"/>
      <c r="E17" s="9"/>
      <c r="F17" s="9"/>
      <c r="G17" s="9"/>
      <c r="H17" s="14">
        <f>SUM(H16)</f>
        <v>189000</v>
      </c>
    </row>
    <row r="18" spans="1:8" x14ac:dyDescent="0.2">
      <c r="A18" s="2" t="s">
        <v>25</v>
      </c>
      <c r="B18" s="11"/>
      <c r="C18" s="11"/>
      <c r="D18" s="16"/>
      <c r="E18" s="11"/>
      <c r="F18" s="11"/>
      <c r="G18" s="11"/>
      <c r="H18" s="12"/>
    </row>
    <row r="19" spans="1:8" x14ac:dyDescent="0.2">
      <c r="A19" s="5">
        <v>1</v>
      </c>
      <c r="B19" s="1" t="s">
        <v>26</v>
      </c>
      <c r="D19" s="17" t="s">
        <v>27</v>
      </c>
      <c r="E19" s="1">
        <v>2</v>
      </c>
      <c r="F19" s="1">
        <v>14</v>
      </c>
      <c r="G19" s="6">
        <v>9000</v>
      </c>
      <c r="H19" s="7">
        <f>E19*F19*G19</f>
        <v>252000</v>
      </c>
    </row>
    <row r="20" spans="1:8" x14ac:dyDescent="0.2">
      <c r="A20" s="5">
        <v>2</v>
      </c>
      <c r="B20" s="1" t="s">
        <v>28</v>
      </c>
      <c r="D20" s="17" t="s">
        <v>27</v>
      </c>
      <c r="E20" s="1">
        <v>2</v>
      </c>
      <c r="F20" s="1">
        <v>15</v>
      </c>
      <c r="G20" s="6">
        <v>5000</v>
      </c>
      <c r="H20" s="7">
        <f>E20*F20*G20</f>
        <v>150000</v>
      </c>
    </row>
    <row r="21" spans="1:8" x14ac:dyDescent="0.2">
      <c r="A21" s="5">
        <v>3</v>
      </c>
      <c r="B21" s="1" t="s">
        <v>29</v>
      </c>
      <c r="D21" s="17" t="s">
        <v>30</v>
      </c>
      <c r="E21" s="1">
        <v>60</v>
      </c>
      <c r="F21" s="1">
        <v>14</v>
      </c>
      <c r="G21" s="1">
        <v>200</v>
      </c>
      <c r="H21" s="7">
        <f>E21*F21*G21</f>
        <v>168000</v>
      </c>
    </row>
    <row r="22" spans="1:8" x14ac:dyDescent="0.2">
      <c r="A22" s="5">
        <v>4</v>
      </c>
      <c r="B22" s="1" t="s">
        <v>31</v>
      </c>
      <c r="D22" s="17" t="s">
        <v>32</v>
      </c>
      <c r="E22" s="1">
        <v>1</v>
      </c>
      <c r="F22" s="1">
        <v>14</v>
      </c>
      <c r="G22" s="6">
        <v>8000</v>
      </c>
      <c r="H22" s="7">
        <f>E22*F22*G22</f>
        <v>112000</v>
      </c>
    </row>
    <row r="23" spans="1:8" ht="17" thickBot="1" x14ac:dyDescent="0.25">
      <c r="A23" s="13" t="s">
        <v>21</v>
      </c>
      <c r="B23" s="9"/>
      <c r="C23" s="9"/>
      <c r="D23" s="18"/>
      <c r="E23" s="9"/>
      <c r="F23" s="9"/>
      <c r="G23" s="9"/>
      <c r="H23" s="14">
        <f>SUM(H19:H22)</f>
        <v>682000</v>
      </c>
    </row>
    <row r="24" spans="1:8" x14ac:dyDescent="0.2">
      <c r="A24" s="2" t="s">
        <v>33</v>
      </c>
      <c r="B24" s="11"/>
      <c r="C24" s="11"/>
      <c r="D24" s="16"/>
      <c r="E24" s="11"/>
      <c r="F24" s="11"/>
      <c r="G24" s="11"/>
      <c r="H24" s="12"/>
    </row>
    <row r="25" spans="1:8" x14ac:dyDescent="0.2">
      <c r="A25" s="5">
        <v>1</v>
      </c>
      <c r="B25" s="1" t="s">
        <v>34</v>
      </c>
      <c r="D25" s="17" t="s">
        <v>35</v>
      </c>
      <c r="E25" s="1">
        <v>1</v>
      </c>
      <c r="F25" s="1">
        <v>1</v>
      </c>
      <c r="G25" s="1">
        <v>500</v>
      </c>
      <c r="H25" s="7">
        <f>E25*F25*G25</f>
        <v>500</v>
      </c>
    </row>
    <row r="26" spans="1:8" x14ac:dyDescent="0.2">
      <c r="A26" s="5">
        <v>2</v>
      </c>
      <c r="B26" s="1" t="s">
        <v>36</v>
      </c>
      <c r="D26" s="17" t="s">
        <v>37</v>
      </c>
      <c r="E26" s="1">
        <v>2</v>
      </c>
      <c r="F26" s="1">
        <v>1</v>
      </c>
      <c r="G26" s="1">
        <v>300</v>
      </c>
      <c r="H26" s="7">
        <f>E26*F26*G26</f>
        <v>600</v>
      </c>
    </row>
    <row r="27" spans="1:8" x14ac:dyDescent="0.2">
      <c r="A27" s="5">
        <v>3</v>
      </c>
      <c r="B27" s="1" t="s">
        <v>38</v>
      </c>
      <c r="D27" s="17" t="s">
        <v>39</v>
      </c>
      <c r="E27" s="1">
        <v>1</v>
      </c>
      <c r="F27" s="1">
        <v>1</v>
      </c>
      <c r="G27" s="6">
        <v>8000</v>
      </c>
      <c r="H27" s="7">
        <f>E27*F27*G27</f>
        <v>8000</v>
      </c>
    </row>
    <row r="28" spans="1:8" ht="17" thickBot="1" x14ac:dyDescent="0.25">
      <c r="A28" s="13" t="s">
        <v>21</v>
      </c>
      <c r="B28" s="9"/>
      <c r="C28" s="9"/>
      <c r="D28" s="18"/>
      <c r="E28" s="9"/>
      <c r="F28" s="9"/>
      <c r="G28" s="9"/>
      <c r="H28" s="14">
        <f>SUM(H25:H27)</f>
        <v>9100</v>
      </c>
    </row>
    <row r="29" spans="1:8" ht="17" thickBot="1" x14ac:dyDescent="0.25">
      <c r="A29" s="8" t="s">
        <v>40</v>
      </c>
      <c r="B29" s="9"/>
      <c r="C29" s="9"/>
      <c r="D29" s="18"/>
      <c r="E29" s="9"/>
      <c r="F29" s="9"/>
      <c r="G29" s="9"/>
      <c r="H29" s="10">
        <f>H14+H17+H23+H28</f>
        <v>2644100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F77A-D006-1149-8B56-2C71B4221EED}">
  <dimension ref="A1:W28"/>
  <sheetViews>
    <sheetView workbookViewId="0">
      <selection activeCell="I19" sqref="I19"/>
    </sheetView>
  </sheetViews>
  <sheetFormatPr baseColWidth="10" defaultRowHeight="16" x14ac:dyDescent="0.2"/>
  <cols>
    <col min="1" max="7" width="11" customWidth="1"/>
    <col min="8" max="8" width="14" customWidth="1"/>
    <col min="9" max="9" width="12.33203125" bestFit="1" customWidth="1"/>
    <col min="10" max="10" width="11.6640625" customWidth="1"/>
    <col min="11" max="11" width="11.83203125" customWidth="1"/>
    <col min="12" max="12" width="11.6640625" customWidth="1"/>
    <col min="13" max="13" width="9.83203125" customWidth="1"/>
    <col min="14" max="18" width="10.1640625" customWidth="1"/>
    <col min="19" max="19" width="7.83203125" bestFit="1" customWidth="1"/>
  </cols>
  <sheetData>
    <row r="1" spans="1:23" s="1" customFormat="1" ht="17" thickBot="1" x14ac:dyDescent="0.25">
      <c r="A1" s="2" t="s">
        <v>41</v>
      </c>
      <c r="B1" s="3" t="s">
        <v>42</v>
      </c>
      <c r="C1" s="4" t="s">
        <v>0</v>
      </c>
      <c r="D1" s="15" t="s">
        <v>43</v>
      </c>
      <c r="E1" s="2" t="s">
        <v>44</v>
      </c>
      <c r="F1" s="3" t="s">
        <v>45</v>
      </c>
      <c r="G1" s="3" t="s">
        <v>47</v>
      </c>
      <c r="H1" s="3" t="s">
        <v>46</v>
      </c>
      <c r="I1" s="40" t="s">
        <v>48</v>
      </c>
      <c r="J1" s="41" t="s">
        <v>49</v>
      </c>
      <c r="K1" s="41" t="s">
        <v>50</v>
      </c>
      <c r="L1" s="41" t="s">
        <v>51</v>
      </c>
      <c r="M1" s="41" t="s">
        <v>52</v>
      </c>
      <c r="N1" s="41" t="s">
        <v>53</v>
      </c>
      <c r="O1" s="41" t="s">
        <v>54</v>
      </c>
      <c r="P1" s="41" t="s">
        <v>55</v>
      </c>
      <c r="Q1" s="41" t="s">
        <v>56</v>
      </c>
      <c r="R1" s="41" t="s">
        <v>57</v>
      </c>
      <c r="S1" s="41" t="s">
        <v>58</v>
      </c>
      <c r="T1" s="41" t="s">
        <v>63</v>
      </c>
      <c r="U1" s="41" t="s">
        <v>64</v>
      </c>
      <c r="V1" s="41" t="s">
        <v>65</v>
      </c>
      <c r="W1" s="42" t="s">
        <v>66</v>
      </c>
    </row>
    <row r="2" spans="1:23" x14ac:dyDescent="0.2">
      <c r="A2" s="2" t="s">
        <v>25</v>
      </c>
      <c r="B2" s="11"/>
      <c r="C2" s="12"/>
      <c r="D2" s="16"/>
      <c r="E2" s="26"/>
      <c r="F2" s="11"/>
      <c r="G2" s="11"/>
      <c r="H2" s="11"/>
      <c r="I2" s="43" t="s">
        <v>68</v>
      </c>
      <c r="J2" s="44" t="s">
        <v>69</v>
      </c>
      <c r="K2" s="44" t="s">
        <v>70</v>
      </c>
      <c r="L2" s="44" t="s">
        <v>73</v>
      </c>
      <c r="M2" s="44" t="s">
        <v>74</v>
      </c>
      <c r="N2" s="44"/>
      <c r="O2" s="44"/>
      <c r="P2" s="44"/>
      <c r="Q2" s="44"/>
      <c r="R2" s="44"/>
      <c r="S2" s="44"/>
      <c r="T2" s="44"/>
      <c r="U2" s="44"/>
      <c r="V2" s="44"/>
      <c r="W2" s="45"/>
    </row>
    <row r="3" spans="1:23" x14ac:dyDescent="0.2">
      <c r="A3" s="5">
        <v>1</v>
      </c>
      <c r="B3" s="1" t="s">
        <v>26</v>
      </c>
      <c r="C3" s="22"/>
      <c r="D3" s="17" t="s">
        <v>27</v>
      </c>
      <c r="E3" s="5">
        <v>2</v>
      </c>
      <c r="F3" s="1">
        <v>14</v>
      </c>
      <c r="G3" s="6">
        <v>9000</v>
      </c>
      <c r="H3" s="6">
        <f>E3*F3*G3</f>
        <v>252000</v>
      </c>
      <c r="I3" s="49">
        <f>6000+6000</f>
        <v>12000</v>
      </c>
      <c r="J3" s="50">
        <f>7000+6000</f>
        <v>13000</v>
      </c>
      <c r="K3" s="50">
        <f>6000+7000</f>
        <v>13000</v>
      </c>
      <c r="L3" s="50">
        <f>6000+6000</f>
        <v>12000</v>
      </c>
      <c r="M3" s="50">
        <f>6000+6000</f>
        <v>12000</v>
      </c>
      <c r="N3" s="50"/>
      <c r="O3" s="50"/>
      <c r="P3" s="50"/>
      <c r="Q3" s="50"/>
      <c r="R3" s="50"/>
      <c r="S3" s="50"/>
      <c r="T3" s="50"/>
      <c r="U3" s="50"/>
      <c r="V3" s="50"/>
      <c r="W3" s="51"/>
    </row>
    <row r="4" spans="1:23" x14ac:dyDescent="0.2">
      <c r="A4" s="5">
        <v>3</v>
      </c>
      <c r="B4" s="1" t="s">
        <v>29</v>
      </c>
      <c r="C4" s="22"/>
      <c r="D4" s="17" t="s">
        <v>30</v>
      </c>
      <c r="E4" s="5">
        <v>60</v>
      </c>
      <c r="F4" s="1">
        <v>14</v>
      </c>
      <c r="G4" s="1">
        <v>200</v>
      </c>
      <c r="H4" s="6">
        <f>E4*F4*G4</f>
        <v>168000</v>
      </c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</row>
    <row r="5" spans="1:23" x14ac:dyDescent="0.2">
      <c r="A5" s="5">
        <v>4</v>
      </c>
      <c r="B5" s="1" t="s">
        <v>31</v>
      </c>
      <c r="C5" s="22"/>
      <c r="D5" s="17" t="s">
        <v>32</v>
      </c>
      <c r="E5" s="5">
        <v>1</v>
      </c>
      <c r="F5" s="1">
        <v>14</v>
      </c>
      <c r="G5" s="6">
        <v>8000</v>
      </c>
      <c r="H5" s="6">
        <f>E5*F5*G5</f>
        <v>112000</v>
      </c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1"/>
    </row>
    <row r="6" spans="1:23" ht="17" thickBot="1" x14ac:dyDescent="0.25">
      <c r="A6" s="13" t="s">
        <v>21</v>
      </c>
      <c r="B6" s="9"/>
      <c r="C6" s="23"/>
      <c r="D6" s="18"/>
      <c r="E6" s="27"/>
      <c r="F6" s="9"/>
      <c r="G6" s="9"/>
      <c r="H6" s="32">
        <f>SUM(H3:H5)</f>
        <v>532000</v>
      </c>
      <c r="I6" s="35">
        <f>SUM(I3:I5)</f>
        <v>12000</v>
      </c>
      <c r="J6" s="36">
        <f t="shared" ref="J6:W6" si="0">SUM(J3:J5)</f>
        <v>13000</v>
      </c>
      <c r="K6" s="36">
        <f t="shared" si="0"/>
        <v>13000</v>
      </c>
      <c r="L6" s="36">
        <f t="shared" si="0"/>
        <v>12000</v>
      </c>
      <c r="M6" s="36">
        <f t="shared" si="0"/>
        <v>12000</v>
      </c>
      <c r="N6" s="36">
        <f t="shared" si="0"/>
        <v>0</v>
      </c>
      <c r="O6" s="36">
        <f t="shared" si="0"/>
        <v>0</v>
      </c>
      <c r="P6" s="36">
        <f t="shared" si="0"/>
        <v>0</v>
      </c>
      <c r="Q6" s="36">
        <f t="shared" si="0"/>
        <v>0</v>
      </c>
      <c r="R6" s="36">
        <f t="shared" si="0"/>
        <v>0</v>
      </c>
      <c r="S6" s="36">
        <f t="shared" si="0"/>
        <v>0</v>
      </c>
      <c r="T6" s="36">
        <f t="shared" si="0"/>
        <v>0</v>
      </c>
      <c r="U6" s="36">
        <f t="shared" si="0"/>
        <v>0</v>
      </c>
      <c r="V6" s="36">
        <f t="shared" si="0"/>
        <v>0</v>
      </c>
      <c r="W6" s="37">
        <f t="shared" si="0"/>
        <v>0</v>
      </c>
    </row>
    <row r="7" spans="1:23" x14ac:dyDescent="0.2">
      <c r="A7" s="2" t="s">
        <v>33</v>
      </c>
      <c r="B7" s="11"/>
      <c r="C7" s="12"/>
      <c r="D7" s="16"/>
      <c r="E7" s="26"/>
      <c r="F7" s="11"/>
      <c r="G7" s="11"/>
      <c r="H7" s="11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1"/>
    </row>
    <row r="8" spans="1:23" x14ac:dyDescent="0.2">
      <c r="A8" s="5">
        <v>1</v>
      </c>
      <c r="B8" s="1" t="s">
        <v>34</v>
      </c>
      <c r="C8" s="22"/>
      <c r="D8" s="17" t="s">
        <v>35</v>
      </c>
      <c r="E8" s="5">
        <v>1</v>
      </c>
      <c r="F8" s="1">
        <v>1</v>
      </c>
      <c r="G8" s="1">
        <v>500</v>
      </c>
      <c r="H8" s="6">
        <f>E8*F8*G8</f>
        <v>500</v>
      </c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1"/>
    </row>
    <row r="9" spans="1:23" x14ac:dyDescent="0.2">
      <c r="A9" s="5">
        <v>2</v>
      </c>
      <c r="B9" s="1" t="s">
        <v>36</v>
      </c>
      <c r="C9" s="22"/>
      <c r="D9" s="17" t="s">
        <v>37</v>
      </c>
      <c r="E9" s="5">
        <v>2</v>
      </c>
      <c r="F9" s="1">
        <v>1</v>
      </c>
      <c r="G9" s="1">
        <v>300</v>
      </c>
      <c r="H9" s="6">
        <f>E9*F9*G9</f>
        <v>600</v>
      </c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1"/>
    </row>
    <row r="10" spans="1:23" x14ac:dyDescent="0.2">
      <c r="A10" s="5">
        <v>3</v>
      </c>
      <c r="B10" s="1" t="s">
        <v>38</v>
      </c>
      <c r="C10" s="22"/>
      <c r="D10" s="17" t="s">
        <v>39</v>
      </c>
      <c r="E10" s="5">
        <v>1</v>
      </c>
      <c r="F10" s="1">
        <v>1</v>
      </c>
      <c r="G10" s="6">
        <v>8000</v>
      </c>
      <c r="H10" s="6">
        <f>E10*F10*G10</f>
        <v>8000</v>
      </c>
      <c r="I10" s="49">
        <v>1440</v>
      </c>
      <c r="J10" s="50"/>
      <c r="K10" s="50"/>
      <c r="L10" s="50"/>
      <c r="M10" s="50">
        <v>1400</v>
      </c>
      <c r="N10" s="50"/>
      <c r="O10" s="50"/>
      <c r="P10" s="50"/>
      <c r="Q10" s="50"/>
      <c r="R10" s="50"/>
      <c r="S10" s="50"/>
      <c r="T10" s="50"/>
      <c r="U10" s="50"/>
      <c r="V10" s="50"/>
      <c r="W10" s="51"/>
    </row>
    <row r="11" spans="1:23" ht="17" thickBot="1" x14ac:dyDescent="0.25">
      <c r="A11" s="13" t="s">
        <v>21</v>
      </c>
      <c r="B11" s="9"/>
      <c r="C11" s="23"/>
      <c r="D11" s="18"/>
      <c r="E11" s="27"/>
      <c r="F11" s="9"/>
      <c r="G11" s="9"/>
      <c r="H11" s="32">
        <f>SUM(H8:H10)</f>
        <v>9100</v>
      </c>
      <c r="I11" s="35">
        <f>SUM(I8:I10)</f>
        <v>1440</v>
      </c>
      <c r="J11" s="36">
        <f t="shared" ref="J11:W11" si="1">SUM(J8:J10)</f>
        <v>0</v>
      </c>
      <c r="K11" s="36">
        <f t="shared" si="1"/>
        <v>0</v>
      </c>
      <c r="L11" s="36">
        <f t="shared" si="1"/>
        <v>0</v>
      </c>
      <c r="M11" s="36">
        <f t="shared" si="1"/>
        <v>1400</v>
      </c>
      <c r="N11" s="36">
        <f t="shared" si="1"/>
        <v>0</v>
      </c>
      <c r="O11" s="36">
        <f t="shared" si="1"/>
        <v>0</v>
      </c>
      <c r="P11" s="36">
        <f t="shared" si="1"/>
        <v>0</v>
      </c>
      <c r="Q11" s="36">
        <f t="shared" si="1"/>
        <v>0</v>
      </c>
      <c r="R11" s="36">
        <f t="shared" si="1"/>
        <v>0</v>
      </c>
      <c r="S11" s="36">
        <f t="shared" si="1"/>
        <v>0</v>
      </c>
      <c r="T11" s="36">
        <f t="shared" si="1"/>
        <v>0</v>
      </c>
      <c r="U11" s="36">
        <f t="shared" si="1"/>
        <v>0</v>
      </c>
      <c r="V11" s="36">
        <f t="shared" si="1"/>
        <v>0</v>
      </c>
      <c r="W11" s="37">
        <f t="shared" si="1"/>
        <v>0</v>
      </c>
    </row>
    <row r="12" spans="1:23" x14ac:dyDescent="0.2">
      <c r="A12" s="24" t="s">
        <v>60</v>
      </c>
      <c r="B12" s="1"/>
      <c r="C12" s="22"/>
      <c r="D12" s="17"/>
      <c r="E12" s="5"/>
      <c r="F12" s="1"/>
      <c r="G12" s="1"/>
      <c r="H12" s="21"/>
      <c r="I12" s="46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8"/>
    </row>
    <row r="13" spans="1:23" x14ac:dyDescent="0.2">
      <c r="A13" s="25">
        <v>1</v>
      </c>
      <c r="B13" t="s">
        <v>61</v>
      </c>
      <c r="C13" s="22"/>
      <c r="D13" s="17" t="s">
        <v>78</v>
      </c>
      <c r="E13" s="5"/>
      <c r="F13" s="1"/>
      <c r="G13" s="1"/>
      <c r="H13" s="21"/>
      <c r="I13" s="49">
        <v>2000</v>
      </c>
      <c r="J13" s="50">
        <v>2000</v>
      </c>
      <c r="K13" s="50">
        <v>2000</v>
      </c>
      <c r="L13" s="50">
        <v>2000</v>
      </c>
      <c r="M13" s="50">
        <v>2000</v>
      </c>
      <c r="N13" s="50">
        <v>2000</v>
      </c>
      <c r="O13" s="50">
        <v>2000</v>
      </c>
      <c r="P13" s="50">
        <v>2000</v>
      </c>
      <c r="Q13" s="50">
        <v>2000</v>
      </c>
      <c r="R13" s="50">
        <v>2000</v>
      </c>
      <c r="S13" s="50">
        <v>2000</v>
      </c>
      <c r="T13" s="50">
        <v>2000</v>
      </c>
      <c r="U13" s="50">
        <v>2000</v>
      </c>
      <c r="V13" s="50">
        <v>2000</v>
      </c>
      <c r="W13" s="51">
        <v>2000</v>
      </c>
    </row>
    <row r="14" spans="1:23" x14ac:dyDescent="0.2">
      <c r="A14" s="25">
        <v>2</v>
      </c>
      <c r="B14" s="1" t="s">
        <v>67</v>
      </c>
      <c r="C14" s="22"/>
      <c r="D14" s="17"/>
      <c r="E14" s="5"/>
      <c r="F14" s="1"/>
      <c r="G14" s="1"/>
      <c r="H14" s="21"/>
      <c r="I14" s="49">
        <v>4000</v>
      </c>
      <c r="J14" s="50">
        <v>4000</v>
      </c>
      <c r="K14" s="50">
        <v>4000</v>
      </c>
      <c r="L14" s="50">
        <v>4000</v>
      </c>
      <c r="M14" s="50">
        <v>4000</v>
      </c>
      <c r="N14" s="50">
        <v>4000</v>
      </c>
      <c r="O14" s="50">
        <v>4000</v>
      </c>
      <c r="P14" s="50">
        <v>4000</v>
      </c>
      <c r="Q14" s="50">
        <v>4000</v>
      </c>
      <c r="R14" s="50">
        <v>4000</v>
      </c>
      <c r="S14" s="50">
        <v>4000</v>
      </c>
      <c r="T14" s="50">
        <v>4000</v>
      </c>
      <c r="U14" s="50">
        <v>4000</v>
      </c>
      <c r="V14" s="50">
        <v>4000</v>
      </c>
      <c r="W14" s="51">
        <v>4000</v>
      </c>
    </row>
    <row r="15" spans="1:23" x14ac:dyDescent="0.2">
      <c r="A15" s="25">
        <v>3</v>
      </c>
      <c r="B15" s="1" t="s">
        <v>79</v>
      </c>
      <c r="C15" s="22"/>
      <c r="D15" s="17"/>
      <c r="E15" s="5"/>
      <c r="F15" s="1"/>
      <c r="G15" s="1"/>
      <c r="H15" s="21"/>
      <c r="I15" s="4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1"/>
    </row>
    <row r="16" spans="1:23" x14ac:dyDescent="0.2">
      <c r="A16" s="25">
        <v>4</v>
      </c>
      <c r="B16" s="1" t="s">
        <v>80</v>
      </c>
      <c r="C16" s="22"/>
      <c r="D16" s="17"/>
      <c r="E16" s="5"/>
      <c r="F16" s="1"/>
      <c r="G16" s="1"/>
      <c r="H16" s="21"/>
      <c r="I16" s="4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1"/>
    </row>
    <row r="17" spans="1:23" ht="17" thickBot="1" x14ac:dyDescent="0.25">
      <c r="A17" s="13" t="s">
        <v>21</v>
      </c>
      <c r="B17" s="9"/>
      <c r="C17" s="23"/>
      <c r="D17" s="18"/>
      <c r="E17" s="27"/>
      <c r="F17" s="9"/>
      <c r="G17" s="9"/>
      <c r="H17" s="32">
        <f>SUM(H14:H16)</f>
        <v>0</v>
      </c>
      <c r="I17" s="35">
        <f>SUM(I13:I16)</f>
        <v>6000</v>
      </c>
      <c r="J17" s="36">
        <f t="shared" ref="J17:S17" si="2">SUM(J14:J16)</f>
        <v>4000</v>
      </c>
      <c r="K17" s="36">
        <f t="shared" si="2"/>
        <v>4000</v>
      </c>
      <c r="L17" s="36">
        <f t="shared" si="2"/>
        <v>4000</v>
      </c>
      <c r="M17" s="36">
        <f t="shared" si="2"/>
        <v>4000</v>
      </c>
      <c r="N17" s="36">
        <f t="shared" si="2"/>
        <v>4000</v>
      </c>
      <c r="O17" s="36">
        <f t="shared" si="2"/>
        <v>4000</v>
      </c>
      <c r="P17" s="36">
        <f t="shared" si="2"/>
        <v>4000</v>
      </c>
      <c r="Q17" s="36">
        <f t="shared" si="2"/>
        <v>4000</v>
      </c>
      <c r="R17" s="36">
        <f t="shared" si="2"/>
        <v>4000</v>
      </c>
      <c r="S17" s="36">
        <f t="shared" si="2"/>
        <v>4000</v>
      </c>
      <c r="T17" s="36">
        <f>SUM(T14:T16)</f>
        <v>4000</v>
      </c>
      <c r="U17" s="36">
        <f>SUM(U14:U16)</f>
        <v>4000</v>
      </c>
      <c r="V17" s="36">
        <f>SUM(V14:V16)</f>
        <v>4000</v>
      </c>
      <c r="W17" s="37">
        <f>SUM(W14:W16)</f>
        <v>4000</v>
      </c>
    </row>
    <row r="18" spans="1:23" x14ac:dyDescent="0.2">
      <c r="A18" s="24" t="s">
        <v>62</v>
      </c>
      <c r="B18" s="1"/>
      <c r="C18" s="22"/>
      <c r="D18" s="17"/>
      <c r="E18" s="5"/>
      <c r="F18" s="1"/>
      <c r="G18" s="1"/>
      <c r="H18" s="21"/>
      <c r="I18" s="4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8"/>
    </row>
    <row r="19" spans="1:23" x14ac:dyDescent="0.2">
      <c r="A19" s="5" t="s">
        <v>77</v>
      </c>
      <c r="B19" s="1"/>
      <c r="C19" s="22"/>
      <c r="D19" s="17"/>
      <c r="E19" s="5"/>
      <c r="F19" s="1"/>
      <c r="G19" s="1"/>
      <c r="H19" s="21"/>
      <c r="I19" s="4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1"/>
    </row>
    <row r="20" spans="1:23" x14ac:dyDescent="0.2">
      <c r="A20" s="24"/>
      <c r="B20" s="1"/>
      <c r="C20" s="22"/>
      <c r="D20" s="17"/>
      <c r="E20" s="5"/>
      <c r="F20" s="1"/>
      <c r="G20" s="1"/>
      <c r="H20" s="21"/>
      <c r="I20" s="4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1"/>
    </row>
    <row r="21" spans="1:23" x14ac:dyDescent="0.2">
      <c r="A21" s="24"/>
      <c r="B21" s="1"/>
      <c r="C21" s="22"/>
      <c r="D21" s="17"/>
      <c r="E21" s="5"/>
      <c r="F21" s="1"/>
      <c r="G21" s="1"/>
      <c r="H21" s="21"/>
      <c r="I21" s="49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1"/>
    </row>
    <row r="22" spans="1:23" ht="17" thickBot="1" x14ac:dyDescent="0.25">
      <c r="A22" s="13" t="s">
        <v>21</v>
      </c>
      <c r="B22" s="9"/>
      <c r="C22" s="23"/>
      <c r="D22" s="18"/>
      <c r="E22" s="27"/>
      <c r="F22" s="9"/>
      <c r="G22" s="9"/>
      <c r="H22" s="32">
        <f>SUM(H19:H21)</f>
        <v>0</v>
      </c>
      <c r="I22" s="35">
        <f>SUM(I19:I21)</f>
        <v>0</v>
      </c>
      <c r="J22" s="36">
        <f t="shared" ref="J22:S22" si="3">SUM(J19:J21)</f>
        <v>0</v>
      </c>
      <c r="K22" s="36">
        <f t="shared" si="3"/>
        <v>0</v>
      </c>
      <c r="L22" s="36">
        <f t="shared" si="3"/>
        <v>0</v>
      </c>
      <c r="M22" s="36">
        <f t="shared" si="3"/>
        <v>0</v>
      </c>
      <c r="N22" s="36">
        <f t="shared" si="3"/>
        <v>0</v>
      </c>
      <c r="O22" s="36">
        <f t="shared" si="3"/>
        <v>0</v>
      </c>
      <c r="P22" s="36">
        <f t="shared" si="3"/>
        <v>0</v>
      </c>
      <c r="Q22" s="36">
        <f t="shared" si="3"/>
        <v>0</v>
      </c>
      <c r="R22" s="36">
        <f t="shared" si="3"/>
        <v>0</v>
      </c>
      <c r="S22" s="36">
        <f t="shared" si="3"/>
        <v>0</v>
      </c>
      <c r="T22" s="36">
        <f>SUM(T19:T21)</f>
        <v>0</v>
      </c>
      <c r="U22" s="36">
        <f>SUM(U19:U21)</f>
        <v>0</v>
      </c>
      <c r="V22" s="36">
        <f>SUM(V19:V21)</f>
        <v>0</v>
      </c>
      <c r="W22" s="37">
        <f>SUM(W19:W21)</f>
        <v>0</v>
      </c>
    </row>
    <row r="23" spans="1:23" ht="17" thickBot="1" x14ac:dyDescent="0.25">
      <c r="A23" s="29" t="s">
        <v>59</v>
      </c>
      <c r="B23" s="30"/>
      <c r="C23" s="30"/>
      <c r="D23" s="30"/>
      <c r="E23" s="30"/>
      <c r="F23" s="30"/>
      <c r="G23" s="30"/>
      <c r="H23" s="31">
        <f>H6+H11+H17+H22</f>
        <v>541100</v>
      </c>
      <c r="I23" s="33">
        <f>I6+I11+I17+I22</f>
        <v>19440</v>
      </c>
      <c r="J23" s="31">
        <f t="shared" ref="J23:U23" si="4">J6+J11+J17+J22</f>
        <v>17000</v>
      </c>
      <c r="K23" s="31">
        <f t="shared" si="4"/>
        <v>17000</v>
      </c>
      <c r="L23" s="31">
        <f t="shared" si="4"/>
        <v>16000</v>
      </c>
      <c r="M23" s="31">
        <f t="shared" si="4"/>
        <v>17400</v>
      </c>
      <c r="N23" s="31">
        <f t="shared" si="4"/>
        <v>4000</v>
      </c>
      <c r="O23" s="31">
        <f t="shared" si="4"/>
        <v>4000</v>
      </c>
      <c r="P23" s="31">
        <f t="shared" si="4"/>
        <v>4000</v>
      </c>
      <c r="Q23" s="31">
        <f t="shared" si="4"/>
        <v>4000</v>
      </c>
      <c r="R23" s="31">
        <f t="shared" si="4"/>
        <v>4000</v>
      </c>
      <c r="S23" s="31">
        <f t="shared" si="4"/>
        <v>4000</v>
      </c>
      <c r="T23" s="31">
        <f t="shared" si="4"/>
        <v>4000</v>
      </c>
      <c r="U23" s="31">
        <f t="shared" si="4"/>
        <v>4000</v>
      </c>
      <c r="V23" s="31">
        <f>V6+V11+V17+V22</f>
        <v>4000</v>
      </c>
      <c r="W23" s="34">
        <f>W6+W11+W17+W22</f>
        <v>4000</v>
      </c>
    </row>
    <row r="24" spans="1:23" x14ac:dyDescent="0.2">
      <c r="A24" s="19" t="s">
        <v>71</v>
      </c>
      <c r="H24" s="28">
        <f>SUM(I23:W23)</f>
        <v>126840</v>
      </c>
    </row>
    <row r="25" spans="1:23" x14ac:dyDescent="0.2">
      <c r="A25" s="19" t="s">
        <v>72</v>
      </c>
      <c r="H25" s="20">
        <f>H23-H24</f>
        <v>414260</v>
      </c>
    </row>
    <row r="26" spans="1:23" x14ac:dyDescent="0.2">
      <c r="A26" s="19"/>
    </row>
    <row r="27" spans="1:23" x14ac:dyDescent="0.2">
      <c r="A27" s="19" t="s">
        <v>75</v>
      </c>
      <c r="H27" s="38">
        <v>200000</v>
      </c>
    </row>
    <row r="28" spans="1:23" x14ac:dyDescent="0.2">
      <c r="A28" s="19" t="s">
        <v>76</v>
      </c>
      <c r="H28" s="39">
        <f>H27-H24</f>
        <v>73160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0F24-C27C-F040-9607-296E2DA7AE8D}">
  <dimension ref="A1:D22"/>
  <sheetViews>
    <sheetView tabSelected="1" workbookViewId="0">
      <selection activeCell="D20" sqref="D20"/>
    </sheetView>
  </sheetViews>
  <sheetFormatPr baseColWidth="10" defaultColWidth="12.33203125" defaultRowHeight="16" x14ac:dyDescent="0.2"/>
  <cols>
    <col min="1" max="1" width="4.83203125" customWidth="1"/>
    <col min="2" max="2" width="13.1640625" bestFit="1" customWidth="1"/>
    <col min="3" max="3" width="49.1640625" customWidth="1"/>
    <col min="4" max="4" width="63.1640625" customWidth="1"/>
  </cols>
  <sheetData>
    <row r="1" spans="1:4" ht="20" x14ac:dyDescent="0.25">
      <c r="A1" s="52" t="s">
        <v>81</v>
      </c>
      <c r="B1" s="52" t="s">
        <v>82</v>
      </c>
      <c r="C1" s="52" t="s">
        <v>83</v>
      </c>
      <c r="D1" s="52" t="s">
        <v>84</v>
      </c>
    </row>
    <row r="2" spans="1:4" ht="20" x14ac:dyDescent="0.25">
      <c r="A2" s="53">
        <v>1</v>
      </c>
      <c r="B2" s="53" t="s">
        <v>88</v>
      </c>
      <c r="C2" s="53" t="s">
        <v>85</v>
      </c>
    </row>
    <row r="3" spans="1:4" ht="20" x14ac:dyDescent="0.25">
      <c r="A3" s="53">
        <v>2</v>
      </c>
      <c r="B3" s="53" t="s">
        <v>91</v>
      </c>
      <c r="C3" s="53" t="s">
        <v>86</v>
      </c>
      <c r="D3" s="53" t="s">
        <v>87</v>
      </c>
    </row>
    <row r="4" spans="1:4" ht="20" x14ac:dyDescent="0.25">
      <c r="A4" s="53">
        <v>3</v>
      </c>
      <c r="B4" s="53" t="s">
        <v>93</v>
      </c>
      <c r="C4" s="53" t="s">
        <v>89</v>
      </c>
      <c r="D4" s="53" t="s">
        <v>90</v>
      </c>
    </row>
    <row r="5" spans="1:4" ht="20" x14ac:dyDescent="0.25">
      <c r="A5" s="53">
        <v>4</v>
      </c>
      <c r="B5" s="53" t="s">
        <v>95</v>
      </c>
      <c r="C5" s="53" t="s">
        <v>92</v>
      </c>
      <c r="D5" s="53" t="s">
        <v>87</v>
      </c>
    </row>
    <row r="6" spans="1:4" ht="20" x14ac:dyDescent="0.25">
      <c r="A6" s="53">
        <v>5</v>
      </c>
      <c r="B6" s="53" t="s">
        <v>97</v>
      </c>
      <c r="C6" s="53" t="s">
        <v>94</v>
      </c>
      <c r="D6" s="53" t="s">
        <v>90</v>
      </c>
    </row>
    <row r="7" spans="1:4" ht="20" x14ac:dyDescent="0.25">
      <c r="A7" s="53">
        <v>6</v>
      </c>
      <c r="B7" s="53" t="s">
        <v>99</v>
      </c>
      <c r="C7" s="53" t="s">
        <v>96</v>
      </c>
      <c r="D7" s="53" t="s">
        <v>87</v>
      </c>
    </row>
    <row r="8" spans="1:4" ht="20" x14ac:dyDescent="0.25">
      <c r="A8" s="53">
        <v>7</v>
      </c>
      <c r="B8" s="53" t="s">
        <v>101</v>
      </c>
      <c r="C8" s="53" t="s">
        <v>98</v>
      </c>
      <c r="D8" s="53" t="s">
        <v>90</v>
      </c>
    </row>
    <row r="9" spans="1:4" ht="20" x14ac:dyDescent="0.25">
      <c r="A9" s="53">
        <v>8</v>
      </c>
      <c r="B9" s="53" t="s">
        <v>102</v>
      </c>
      <c r="C9" s="53" t="s">
        <v>100</v>
      </c>
      <c r="D9" s="53" t="s">
        <v>87</v>
      </c>
    </row>
    <row r="10" spans="1:4" ht="20" x14ac:dyDescent="0.25">
      <c r="D10" s="53" t="s">
        <v>90</v>
      </c>
    </row>
    <row r="11" spans="1:4" ht="20" x14ac:dyDescent="0.25">
      <c r="A11" s="52" t="s">
        <v>81</v>
      </c>
      <c r="B11" s="52" t="s">
        <v>82</v>
      </c>
      <c r="C11" s="52" t="s">
        <v>83</v>
      </c>
      <c r="D11" s="52" t="s">
        <v>84</v>
      </c>
    </row>
    <row r="12" spans="1:4" ht="20" x14ac:dyDescent="0.25">
      <c r="A12" s="53">
        <v>9</v>
      </c>
      <c r="B12" s="53" t="s">
        <v>103</v>
      </c>
      <c r="C12" s="53" t="s">
        <v>108</v>
      </c>
      <c r="D12" s="53" t="s">
        <v>115</v>
      </c>
    </row>
    <row r="13" spans="1:4" ht="20" x14ac:dyDescent="0.25">
      <c r="A13" s="53">
        <v>10</v>
      </c>
      <c r="B13" s="53" t="s">
        <v>104</v>
      </c>
      <c r="C13" s="53" t="s">
        <v>108</v>
      </c>
      <c r="D13" s="53" t="s">
        <v>115</v>
      </c>
    </row>
    <row r="14" spans="1:4" ht="20" x14ac:dyDescent="0.25">
      <c r="A14" s="53">
        <v>11</v>
      </c>
      <c r="B14" s="53" t="s">
        <v>106</v>
      </c>
      <c r="C14" s="53" t="s">
        <v>105</v>
      </c>
      <c r="D14" s="53" t="s">
        <v>115</v>
      </c>
    </row>
    <row r="15" spans="1:4" ht="20" x14ac:dyDescent="0.25">
      <c r="A15" s="53">
        <v>12</v>
      </c>
      <c r="B15" s="53" t="s">
        <v>107</v>
      </c>
      <c r="C15" s="53" t="s">
        <v>105</v>
      </c>
      <c r="D15" s="53" t="s">
        <v>115</v>
      </c>
    </row>
    <row r="16" spans="1:4" ht="20" x14ac:dyDescent="0.25">
      <c r="A16" s="53">
        <v>13</v>
      </c>
      <c r="B16" s="53" t="s">
        <v>109</v>
      </c>
      <c r="C16" s="53" t="s">
        <v>113</v>
      </c>
      <c r="D16" s="53" t="s">
        <v>115</v>
      </c>
    </row>
    <row r="17" spans="1:4" ht="20" x14ac:dyDescent="0.25">
      <c r="A17" s="53">
        <v>14</v>
      </c>
      <c r="B17" s="53" t="s">
        <v>110</v>
      </c>
      <c r="C17" s="53" t="s">
        <v>113</v>
      </c>
      <c r="D17" s="53" t="s">
        <v>115</v>
      </c>
    </row>
    <row r="18" spans="1:4" ht="20" x14ac:dyDescent="0.25">
      <c r="A18" s="53">
        <v>15</v>
      </c>
      <c r="B18" s="53" t="s">
        <v>111</v>
      </c>
      <c r="C18" s="53" t="s">
        <v>114</v>
      </c>
      <c r="D18" s="53" t="s">
        <v>115</v>
      </c>
    </row>
    <row r="19" spans="1:4" ht="20" x14ac:dyDescent="0.25">
      <c r="A19" s="53">
        <v>16</v>
      </c>
      <c r="B19" s="53" t="s">
        <v>112</v>
      </c>
      <c r="C19" s="53" t="s">
        <v>116</v>
      </c>
      <c r="D19" s="53" t="s">
        <v>115</v>
      </c>
    </row>
    <row r="21" spans="1:4" ht="20" x14ac:dyDescent="0.25">
      <c r="C21" s="53"/>
      <c r="D21" s="53"/>
    </row>
    <row r="22" spans="1:4" ht="20" x14ac:dyDescent="0.25">
      <c r="C22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Karisa</dc:creator>
  <cp:lastModifiedBy>Juliet Karisa</cp:lastModifiedBy>
  <dcterms:created xsi:type="dcterms:W3CDTF">2024-10-28T14:39:48Z</dcterms:created>
  <dcterms:modified xsi:type="dcterms:W3CDTF">2024-11-17T19:48:15Z</dcterms:modified>
</cp:coreProperties>
</file>