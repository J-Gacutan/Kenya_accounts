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GOAP\Reporting et presentation\BDD_final_sent\"/>
    </mc:Choice>
  </mc:AlternateContent>
  <bookViews>
    <workbookView xWindow="0" yWindow="0" windowWidth="20490" windowHeight="7755"/>
  </bookViews>
  <sheets>
    <sheet name="MPA SW" sheetId="2" r:id="rId1"/>
    <sheet name="LMMA SW" sheetId="1" r:id="rId2"/>
  </sheets>
  <definedNames>
    <definedName name="_xlnm._FilterDatabase" localSheetId="1" hidden="1">'LMMA SW'!$A$1:$F$21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2" l="1"/>
  <c r="D22" i="1" l="1"/>
</calcChain>
</file>

<file path=xl/sharedStrings.xml><?xml version="1.0" encoding="utf-8"?>
<sst xmlns="http://schemas.openxmlformats.org/spreadsheetml/2006/main" count="115" uniqueCount="69">
  <si>
    <t>Commune</t>
  </si>
  <si>
    <t>LMMA Name</t>
  </si>
  <si>
    <t>Year of creation</t>
  </si>
  <si>
    <t>Area (ha)</t>
  </si>
  <si>
    <t>Management type</t>
  </si>
  <si>
    <t>Partners</t>
  </si>
  <si>
    <t>Itampolo</t>
  </si>
  <si>
    <t>Antsiva</t>
  </si>
  <si>
    <t>TGRH</t>
  </si>
  <si>
    <t>WWF</t>
  </si>
  <si>
    <t>Fano</t>
  </si>
  <si>
    <t>AMP</t>
  </si>
  <si>
    <t>Androka</t>
  </si>
  <si>
    <t>FIMIHARITA</t>
  </si>
  <si>
    <t>Anakao</t>
  </si>
  <si>
    <t>FIMIMAMO</t>
  </si>
  <si>
    <t>DINA</t>
  </si>
  <si>
    <t>PIC, Fanainga</t>
  </si>
  <si>
    <t>Hery mitambatra</t>
  </si>
  <si>
    <t>Mahafenoriake</t>
  </si>
  <si>
    <t>Manajariake</t>
  </si>
  <si>
    <t>Befandefa</t>
  </si>
  <si>
    <t>Manjaboaka</t>
  </si>
  <si>
    <t>Blue Ventures</t>
  </si>
  <si>
    <t>Efoetsy</t>
  </si>
  <si>
    <t>Miharisoa</t>
  </si>
  <si>
    <t>Saint Augustin</t>
  </si>
  <si>
    <t>Mitsinjo ny hoavy</t>
  </si>
  <si>
    <t>Dina</t>
  </si>
  <si>
    <t>VOIZO</t>
  </si>
  <si>
    <t>Mitsinjo riake</t>
  </si>
  <si>
    <t>Riake Mahavelo</t>
  </si>
  <si>
    <t>Tsifota</t>
  </si>
  <si>
    <t>Sambele</t>
  </si>
  <si>
    <t>Morombe</t>
  </si>
  <si>
    <t>Teariake</t>
  </si>
  <si>
    <t>Tombosoa</t>
  </si>
  <si>
    <t>Vatohara</t>
  </si>
  <si>
    <t>Vatoharasoa</t>
  </si>
  <si>
    <t>TG</t>
  </si>
  <si>
    <t>Velonirike</t>
  </si>
  <si>
    <t>Beheloka</t>
  </si>
  <si>
    <t>Vezo Mitsinjo ny ho aviny</t>
  </si>
  <si>
    <t>Vonehara</t>
  </si>
  <si>
    <t>Total</t>
  </si>
  <si>
    <t>MPA Name</t>
  </si>
  <si>
    <t>statut_juridique</t>
  </si>
  <si>
    <t>cat_uicn</t>
  </si>
  <si>
    <t>Gestionnaire</t>
  </si>
  <si>
    <t>Creation</t>
  </si>
  <si>
    <t>Gouvernance type</t>
  </si>
  <si>
    <t>Nosy Ve Androka</t>
  </si>
  <si>
    <t>Parc National</t>
  </si>
  <si>
    <t>II</t>
  </si>
  <si>
    <t>MNP</t>
  </si>
  <si>
    <t>Cogestion de type collaboratif</t>
  </si>
  <si>
    <t>Ranobe bay</t>
  </si>
  <si>
    <t>Aire Protégée</t>
  </si>
  <si>
    <t>Non définie</t>
  </si>
  <si>
    <t>MEDD</t>
  </si>
  <si>
    <t>Soariake</t>
  </si>
  <si>
    <t>Réserve de Ressources Naturelles</t>
  </si>
  <si>
    <t>VI</t>
  </si>
  <si>
    <t>WCS</t>
  </si>
  <si>
    <t>Cogestion de type conjointe</t>
  </si>
  <si>
    <t>Velondriake</t>
  </si>
  <si>
    <t>Paysage Harmonieux Protégé</t>
  </si>
  <si>
    <t>V</t>
  </si>
  <si>
    <t xml:space="preserve">BV, Velondriake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</si>
</sst>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€_-;\-* #,##0.00\ _€_-;_-* &quot;-&quot;??\ _€_-;_-@_-"/>
    <numFmt numFmtId="164" formatCode="_-* #,##0\ _€_-;\-* #,##0\ _€_-;_-* &quot;-&quot;??\ _€_-;_-@_-"/>
  </numFmts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164" fontId="0" fillId="0" borderId="1" xfId="1" applyNumberFormat="1" applyFont="1" applyBorder="1"/>
    <xf numFmtId="164" fontId="1" fillId="0" borderId="1" xfId="1" applyNumberFormat="1" applyFont="1" applyBorder="1"/>
    <xf numFmtId="0" fontId="0" fillId="2" borderId="1" xfId="0" applyFill="1" applyBorder="1"/>
    <xf numFmtId="164" fontId="2" fillId="2" borderId="1" xfId="1" applyNumberFormat="1" applyFont="1" applyFill="1" applyBorder="1"/>
    <xf numFmtId="0" fontId="2" fillId="0" borderId="0" xfId="0" applyFont="1"/>
    <xf numFmtId="1" fontId="0" fillId="0" borderId="1" xfId="0" applyNumberFormat="1" applyBorder="1"/>
    <xf numFmtId="164" fontId="2" fillId="2" borderId="1" xfId="0" applyNumberFormat="1" applyFont="1" applyFill="1" applyBorder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C18" sqref="C18"/>
    </sheetView>
  </sheetViews>
  <sheetFormatPr baseColWidth="10" defaultRowHeight="12.75" x14ac:dyDescent="0.2"/>
  <cols>
    <col min="1" max="1" width="15.5703125" bestFit="1" customWidth="1"/>
    <col min="2" max="2" width="29.85546875" bestFit="1" customWidth="1"/>
    <col min="3" max="3" width="10.28515625" bestFit="1" customWidth="1"/>
    <col min="4" max="4" width="10.140625" bestFit="1" customWidth="1"/>
    <col min="5" max="5" width="15" bestFit="1" customWidth="1"/>
    <col min="6" max="6" width="8.7109375" bestFit="1" customWidth="1"/>
    <col min="7" max="7" width="25.7109375" bestFit="1" customWidth="1"/>
  </cols>
  <sheetData>
    <row r="1" spans="1:7" s="7" customFormat="1" x14ac:dyDescent="0.2">
      <c r="A1" s="1" t="s">
        <v>45</v>
      </c>
      <c r="B1" s="1" t="s">
        <v>46</v>
      </c>
      <c r="C1" s="1" t="s">
        <v>3</v>
      </c>
      <c r="D1" s="1" t="s">
        <v>47</v>
      </c>
      <c r="E1" s="1" t="s">
        <v>48</v>
      </c>
      <c r="F1" s="1" t="s">
        <v>49</v>
      </c>
      <c r="G1" s="1" t="s">
        <v>50</v>
      </c>
    </row>
    <row r="2" spans="1:7" x14ac:dyDescent="0.2">
      <c r="A2" s="2" t="s">
        <v>51</v>
      </c>
      <c r="B2" s="2" t="s">
        <v>52</v>
      </c>
      <c r="C2" s="3">
        <v>91445</v>
      </c>
      <c r="D2" s="2" t="s">
        <v>53</v>
      </c>
      <c r="E2" s="2" t="s">
        <v>54</v>
      </c>
      <c r="F2" s="8">
        <v>2015</v>
      </c>
      <c r="G2" s="2" t="s">
        <v>55</v>
      </c>
    </row>
    <row r="3" spans="1:7" x14ac:dyDescent="0.2">
      <c r="A3" s="2" t="s">
        <v>56</v>
      </c>
      <c r="B3" s="2" t="s">
        <v>57</v>
      </c>
      <c r="C3" s="3">
        <v>42404</v>
      </c>
      <c r="D3" s="2" t="s">
        <v>58</v>
      </c>
      <c r="E3" s="2" t="s">
        <v>59</v>
      </c>
      <c r="F3" s="8">
        <v>2015</v>
      </c>
      <c r="G3" s="2" t="s">
        <v>58</v>
      </c>
    </row>
    <row r="4" spans="1:7" x14ac:dyDescent="0.2">
      <c r="A4" s="2" t="s">
        <v>60</v>
      </c>
      <c r="B4" s="2" t="s">
        <v>61</v>
      </c>
      <c r="C4" s="3">
        <v>38293</v>
      </c>
      <c r="D4" s="2" t="s">
        <v>62</v>
      </c>
      <c r="E4" s="2" t="s">
        <v>63</v>
      </c>
      <c r="F4" s="8">
        <v>2015</v>
      </c>
      <c r="G4" s="2" t="s">
        <v>64</v>
      </c>
    </row>
    <row r="5" spans="1:7" x14ac:dyDescent="0.2">
      <c r="A5" s="2" t="s">
        <v>65</v>
      </c>
      <c r="B5" s="2" t="s">
        <v>66</v>
      </c>
      <c r="C5" s="3">
        <v>63985</v>
      </c>
      <c r="D5" s="2" t="s">
        <v>67</v>
      </c>
      <c r="E5" s="2" t="s">
        <v>68</v>
      </c>
      <c r="F5" s="8">
        <v>2015</v>
      </c>
      <c r="G5" s="2" t="s">
        <v>55</v>
      </c>
    </row>
    <row r="6" spans="1:7" x14ac:dyDescent="0.2">
      <c r="A6" s="1" t="s">
        <v>44</v>
      </c>
      <c r="B6" s="5"/>
      <c r="C6" s="9">
        <f>SUM(C2:C5)</f>
        <v>236127</v>
      </c>
      <c r="D6" s="5"/>
      <c r="E6" s="5"/>
      <c r="F6" s="5"/>
      <c r="G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B25" sqref="B25"/>
    </sheetView>
  </sheetViews>
  <sheetFormatPr baseColWidth="10" defaultRowHeight="12.75" x14ac:dyDescent="0.2"/>
  <cols>
    <col min="2" max="2" width="22.42578125" bestFit="1" customWidth="1"/>
    <col min="3" max="3" width="17.7109375" bestFit="1" customWidth="1"/>
    <col min="4" max="4" width="11.5703125" bestFit="1" customWidth="1"/>
    <col min="5" max="5" width="19.7109375" bestFit="1" customWidth="1"/>
    <col min="6" max="6" width="12.710937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>
        <v>2011</v>
      </c>
      <c r="D2" s="3">
        <v>10912</v>
      </c>
      <c r="E2" s="2" t="s">
        <v>8</v>
      </c>
      <c r="F2" s="2" t="s">
        <v>9</v>
      </c>
    </row>
    <row r="3" spans="1:6" x14ac:dyDescent="0.2">
      <c r="A3" s="2" t="s">
        <v>6</v>
      </c>
      <c r="B3" s="2" t="s">
        <v>10</v>
      </c>
      <c r="C3" s="2">
        <v>2018</v>
      </c>
      <c r="D3" s="3">
        <v>483</v>
      </c>
      <c r="E3" s="2" t="s">
        <v>11</v>
      </c>
      <c r="F3" s="2" t="s">
        <v>9</v>
      </c>
    </row>
    <row r="4" spans="1:6" x14ac:dyDescent="0.2">
      <c r="A4" s="2" t="s">
        <v>12</v>
      </c>
      <c r="B4" s="2" t="s">
        <v>13</v>
      </c>
      <c r="C4" s="2">
        <v>2016</v>
      </c>
      <c r="D4" s="3">
        <v>2136</v>
      </c>
      <c r="E4" s="2" t="s">
        <v>11</v>
      </c>
      <c r="F4" s="2" t="s">
        <v>9</v>
      </c>
    </row>
    <row r="5" spans="1:6" x14ac:dyDescent="0.2">
      <c r="A5" s="2" t="s">
        <v>14</v>
      </c>
      <c r="B5" s="2" t="s">
        <v>15</v>
      </c>
      <c r="C5" s="2">
        <v>1998</v>
      </c>
      <c r="D5" s="3">
        <v>19985.018</v>
      </c>
      <c r="E5" s="2" t="s">
        <v>16</v>
      </c>
      <c r="F5" s="2" t="s">
        <v>17</v>
      </c>
    </row>
    <row r="6" spans="1:6" x14ac:dyDescent="0.2">
      <c r="A6" s="2" t="s">
        <v>12</v>
      </c>
      <c r="B6" s="2" t="s">
        <v>18</v>
      </c>
      <c r="C6" s="2">
        <v>2014</v>
      </c>
      <c r="D6" s="3">
        <v>1116</v>
      </c>
      <c r="E6" s="2" t="s">
        <v>11</v>
      </c>
      <c r="F6" s="2" t="s">
        <v>9</v>
      </c>
    </row>
    <row r="7" spans="1:6" x14ac:dyDescent="0.2">
      <c r="A7" s="2" t="s">
        <v>6</v>
      </c>
      <c r="B7" s="2" t="s">
        <v>19</v>
      </c>
      <c r="C7" s="2">
        <v>2016</v>
      </c>
      <c r="D7" s="3">
        <v>407</v>
      </c>
      <c r="E7" s="2" t="s">
        <v>11</v>
      </c>
      <c r="F7" s="2" t="s">
        <v>9</v>
      </c>
    </row>
    <row r="8" spans="1:6" x14ac:dyDescent="0.2">
      <c r="A8" s="2" t="s">
        <v>12</v>
      </c>
      <c r="B8" s="2" t="s">
        <v>20</v>
      </c>
      <c r="C8" s="2">
        <v>2007</v>
      </c>
      <c r="D8" s="3">
        <v>15639</v>
      </c>
      <c r="E8" s="2" t="s">
        <v>11</v>
      </c>
      <c r="F8" s="2" t="s">
        <v>9</v>
      </c>
    </row>
    <row r="9" spans="1:6" x14ac:dyDescent="0.2">
      <c r="A9" s="2" t="s">
        <v>21</v>
      </c>
      <c r="B9" s="2" t="s">
        <v>22</v>
      </c>
      <c r="C9" s="2">
        <v>2020</v>
      </c>
      <c r="D9" s="3">
        <v>24776.776999999998</v>
      </c>
      <c r="E9" s="2" t="s">
        <v>11</v>
      </c>
      <c r="F9" s="2" t="s">
        <v>23</v>
      </c>
    </row>
    <row r="10" spans="1:6" x14ac:dyDescent="0.2">
      <c r="A10" s="2" t="s">
        <v>24</v>
      </c>
      <c r="B10" s="2" t="s">
        <v>25</v>
      </c>
      <c r="C10" s="2">
        <v>2013</v>
      </c>
      <c r="D10" s="3">
        <v>12</v>
      </c>
      <c r="E10" s="2" t="s">
        <v>11</v>
      </c>
      <c r="F10" s="2" t="s">
        <v>9</v>
      </c>
    </row>
    <row r="11" spans="1:6" x14ac:dyDescent="0.2">
      <c r="A11" s="2" t="s">
        <v>26</v>
      </c>
      <c r="B11" s="2" t="s">
        <v>27</v>
      </c>
      <c r="C11" s="2">
        <v>2007</v>
      </c>
      <c r="D11" s="4">
        <v>532</v>
      </c>
      <c r="E11" s="2" t="s">
        <v>28</v>
      </c>
      <c r="F11" s="2" t="s">
        <v>29</v>
      </c>
    </row>
    <row r="12" spans="1:6" x14ac:dyDescent="0.2">
      <c r="A12" s="2" t="s">
        <v>6</v>
      </c>
      <c r="B12" s="2" t="s">
        <v>30</v>
      </c>
      <c r="C12" s="2">
        <v>2012</v>
      </c>
      <c r="D12" s="3">
        <v>3921</v>
      </c>
      <c r="E12" s="2" t="s">
        <v>11</v>
      </c>
      <c r="F12" s="2" t="s">
        <v>9</v>
      </c>
    </row>
    <row r="13" spans="1:6" x14ac:dyDescent="0.2">
      <c r="A13" s="2" t="s">
        <v>14</v>
      </c>
      <c r="B13" s="2" t="s">
        <v>31</v>
      </c>
      <c r="C13" s="2">
        <v>2010</v>
      </c>
      <c r="D13" s="3">
        <v>41</v>
      </c>
      <c r="E13" s="2" t="s">
        <v>11</v>
      </c>
      <c r="F13" s="2" t="s">
        <v>9</v>
      </c>
    </row>
    <row r="14" spans="1:6" x14ac:dyDescent="0.2">
      <c r="A14" s="2" t="s">
        <v>32</v>
      </c>
      <c r="B14" s="2" t="s">
        <v>33</v>
      </c>
      <c r="C14" s="2">
        <v>2010</v>
      </c>
      <c r="D14" s="3">
        <v>11833.868</v>
      </c>
      <c r="E14" s="2" t="s">
        <v>16</v>
      </c>
      <c r="F14" s="2" t="s">
        <v>23</v>
      </c>
    </row>
    <row r="15" spans="1:6" x14ac:dyDescent="0.2">
      <c r="A15" s="2" t="s">
        <v>34</v>
      </c>
      <c r="B15" s="2" t="s">
        <v>35</v>
      </c>
      <c r="C15" s="2">
        <v>2011</v>
      </c>
      <c r="D15" s="3">
        <v>29104.906999999999</v>
      </c>
      <c r="E15" s="2" t="s">
        <v>11</v>
      </c>
      <c r="F15" s="2" t="s">
        <v>23</v>
      </c>
    </row>
    <row r="16" spans="1:6" x14ac:dyDescent="0.2">
      <c r="A16" s="2" t="s">
        <v>24</v>
      </c>
      <c r="B16" s="2" t="s">
        <v>36</v>
      </c>
      <c r="C16" s="2">
        <v>2015</v>
      </c>
      <c r="D16" s="3">
        <v>144</v>
      </c>
      <c r="E16" s="2" t="s">
        <v>11</v>
      </c>
      <c r="F16" s="2" t="s">
        <v>9</v>
      </c>
    </row>
    <row r="17" spans="1:6" x14ac:dyDescent="0.2">
      <c r="A17" s="2" t="s">
        <v>6</v>
      </c>
      <c r="B17" s="2" t="s">
        <v>37</v>
      </c>
      <c r="C17" s="2">
        <v>2008</v>
      </c>
      <c r="D17" s="3">
        <v>589</v>
      </c>
      <c r="E17" s="2" t="s">
        <v>11</v>
      </c>
      <c r="F17" s="2" t="s">
        <v>9</v>
      </c>
    </row>
    <row r="18" spans="1:6" x14ac:dyDescent="0.2">
      <c r="A18" s="2" t="s">
        <v>14</v>
      </c>
      <c r="B18" s="2" t="s">
        <v>38</v>
      </c>
      <c r="C18" s="2">
        <v>2010</v>
      </c>
      <c r="D18" s="3">
        <v>1680.6990000000001</v>
      </c>
      <c r="E18" s="2" t="s">
        <v>39</v>
      </c>
      <c r="F18" s="2" t="s">
        <v>9</v>
      </c>
    </row>
    <row r="19" spans="1:6" x14ac:dyDescent="0.2">
      <c r="A19" s="2" t="s">
        <v>24</v>
      </c>
      <c r="B19" s="2" t="s">
        <v>40</v>
      </c>
      <c r="C19" s="2">
        <v>2013</v>
      </c>
      <c r="D19" s="3">
        <v>495</v>
      </c>
      <c r="E19" s="2" t="s">
        <v>11</v>
      </c>
      <c r="F19" s="2" t="s">
        <v>9</v>
      </c>
    </row>
    <row r="20" spans="1:6" x14ac:dyDescent="0.2">
      <c r="A20" s="2" t="s">
        <v>41</v>
      </c>
      <c r="B20" s="2" t="s">
        <v>42</v>
      </c>
      <c r="C20" s="2">
        <v>2009</v>
      </c>
      <c r="D20" s="3">
        <v>533</v>
      </c>
      <c r="E20" s="2" t="s">
        <v>11</v>
      </c>
      <c r="F20" s="2" t="s">
        <v>9</v>
      </c>
    </row>
    <row r="21" spans="1:6" x14ac:dyDescent="0.2">
      <c r="A21" s="2" t="s">
        <v>41</v>
      </c>
      <c r="B21" s="2" t="s">
        <v>43</v>
      </c>
      <c r="C21" s="2">
        <v>2013</v>
      </c>
      <c r="D21" s="3">
        <v>1773</v>
      </c>
      <c r="E21" s="2" t="s">
        <v>16</v>
      </c>
      <c r="F21" s="2" t="s">
        <v>9</v>
      </c>
    </row>
    <row r="22" spans="1:6" x14ac:dyDescent="0.2">
      <c r="A22" s="1" t="s">
        <v>44</v>
      </c>
      <c r="B22" s="5"/>
      <c r="C22" s="5"/>
      <c r="D22" s="6">
        <f>SUM(D2:D21)</f>
        <v>126114.269</v>
      </c>
      <c r="E22" s="5"/>
      <c r="F22" s="5"/>
    </row>
  </sheetData>
  <autoFilter ref="A1:F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MPA SW</vt:lpstr>
      <vt:lpstr>LMMA SW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dcterms:created xsi:type="dcterms:W3CDTF">2026-03-30T23:55:51Z</dcterms:created>
  <dcterms:modified xsi:type="dcterms:W3CDTF">2026-03-30T23:56:58Z</dcterms:modified>
</cp:coreProperties>
</file>